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jpra\Downloads\Excel_Data_Analytics_Course-main\Excel_Data_Analytics_Course-main\6_Advanced_Data_Analysis\"/>
    </mc:Choice>
  </mc:AlternateContent>
  <xr:revisionPtr revIDLastSave="0" documentId="13_ncr:1_{78717187-D737-4163-9EBA-0DAE5B3A1E95}" xr6:coauthVersionLast="47" xr6:coauthVersionMax="47" xr10:uidLastSave="{00000000-0000-0000-0000-000000000000}"/>
  <bookViews>
    <workbookView xWindow="11424" yWindow="0" windowWidth="11712" windowHeight="13056" firstSheet="6" activeTab="6" xr2:uid="{6C37AC85-509F-4D10-9DB1-F70D16D6FBAB}"/>
  </bookViews>
  <sheets>
    <sheet name="Sheet2" sheetId="17" r:id="rId1"/>
    <sheet name="Forecast_Original" sheetId="7" r:id="rId2"/>
    <sheet name="Forecast_Final" sheetId="8" state="hidden" r:id="rId3"/>
    <sheet name="Answer Report 1" sheetId="18" r:id="rId4"/>
    <sheet name="Sensitivity Report 1" sheetId="19" r:id="rId5"/>
    <sheet name="Limits Report 1" sheetId="20" r:id="rId6"/>
    <sheet name="Answer Report 2" sheetId="21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</definedName>
    <definedName name="solver_rhs2" localSheetId="7" hidden="1">0.05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5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640000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373" i="17"/>
  <c r="C385" i="17"/>
  <c r="C397" i="17"/>
  <c r="C409" i="17"/>
  <c r="C421" i="17"/>
  <c r="C433" i="17"/>
  <c r="C445" i="17"/>
  <c r="C457" i="17"/>
  <c r="C376" i="17"/>
  <c r="C413" i="17"/>
  <c r="C374" i="17"/>
  <c r="C386" i="17"/>
  <c r="C398" i="17"/>
  <c r="C410" i="17"/>
  <c r="C422" i="17"/>
  <c r="C434" i="17"/>
  <c r="C446" i="17"/>
  <c r="C458" i="17"/>
  <c r="C400" i="17"/>
  <c r="C389" i="17"/>
  <c r="C449" i="17"/>
  <c r="C414" i="17"/>
  <c r="C450" i="17"/>
  <c r="C379" i="17"/>
  <c r="C375" i="17"/>
  <c r="C387" i="17"/>
  <c r="C399" i="17"/>
  <c r="C411" i="17"/>
  <c r="C423" i="17"/>
  <c r="C435" i="17"/>
  <c r="C447" i="17"/>
  <c r="C425" i="17"/>
  <c r="C378" i="17"/>
  <c r="C426" i="17"/>
  <c r="C391" i="17"/>
  <c r="C439" i="17"/>
  <c r="C368" i="17"/>
  <c r="C380" i="17"/>
  <c r="C392" i="17"/>
  <c r="C404" i="17"/>
  <c r="C416" i="17"/>
  <c r="C428" i="17"/>
  <c r="C440" i="17"/>
  <c r="C452" i="17"/>
  <c r="C369" i="17"/>
  <c r="C381" i="17"/>
  <c r="C393" i="17"/>
  <c r="C405" i="17"/>
  <c r="C417" i="17"/>
  <c r="C429" i="17"/>
  <c r="C441" i="17"/>
  <c r="C453" i="17"/>
  <c r="C370" i="17"/>
  <c r="C382" i="17"/>
  <c r="C394" i="17"/>
  <c r="C406" i="17"/>
  <c r="C418" i="17"/>
  <c r="C430" i="17"/>
  <c r="C442" i="17"/>
  <c r="C454" i="17"/>
  <c r="C401" i="17"/>
  <c r="C402" i="17"/>
  <c r="C403" i="17"/>
  <c r="C451" i="17"/>
  <c r="C371" i="17"/>
  <c r="C383" i="17"/>
  <c r="C395" i="17"/>
  <c r="C407" i="17"/>
  <c r="C419" i="17"/>
  <c r="C431" i="17"/>
  <c r="C443" i="17"/>
  <c r="C455" i="17"/>
  <c r="C412" i="17"/>
  <c r="C436" i="17"/>
  <c r="C448" i="17"/>
  <c r="C377" i="17"/>
  <c r="C437" i="17"/>
  <c r="C390" i="17"/>
  <c r="C438" i="17"/>
  <c r="C367" i="17"/>
  <c r="C427" i="17"/>
  <c r="C372" i="17"/>
  <c r="C384" i="17"/>
  <c r="C396" i="17"/>
  <c r="C408" i="17"/>
  <c r="C420" i="17"/>
  <c r="C432" i="17"/>
  <c r="C444" i="17"/>
  <c r="C456" i="17"/>
  <c r="C388" i="17"/>
  <c r="C424" i="17"/>
  <c r="C415" i="17"/>
  <c r="C14" i="3" l="1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D415" i="17"/>
  <c r="D420" i="17"/>
  <c r="D367" i="17"/>
  <c r="E436" i="17"/>
  <c r="E407" i="17"/>
  <c r="D402" i="17"/>
  <c r="E406" i="17"/>
  <c r="E429" i="17"/>
  <c r="E452" i="17"/>
  <c r="D380" i="17"/>
  <c r="D425" i="17"/>
  <c r="E387" i="17"/>
  <c r="D389" i="17"/>
  <c r="D410" i="17"/>
  <c r="D457" i="17"/>
  <c r="D385" i="17"/>
  <c r="E454" i="17"/>
  <c r="D428" i="17"/>
  <c r="D458" i="17"/>
  <c r="D383" i="17"/>
  <c r="D386" i="17"/>
  <c r="E374" i="17"/>
  <c r="D372" i="17"/>
  <c r="E381" i="17"/>
  <c r="E409" i="17"/>
  <c r="E451" i="17"/>
  <c r="E414" i="17"/>
  <c r="D448" i="17"/>
  <c r="D422" i="17"/>
  <c r="E415" i="17"/>
  <c r="E420" i="17"/>
  <c r="E367" i="17"/>
  <c r="D436" i="17"/>
  <c r="D407" i="17"/>
  <c r="E402" i="17"/>
  <c r="D406" i="17"/>
  <c r="D429" i="17"/>
  <c r="D452" i="17"/>
  <c r="E380" i="17"/>
  <c r="E425" i="17"/>
  <c r="D387" i="17"/>
  <c r="E389" i="17"/>
  <c r="E410" i="17"/>
  <c r="E457" i="17"/>
  <c r="E385" i="17"/>
  <c r="D390" i="17"/>
  <c r="D435" i="17"/>
  <c r="E433" i="17"/>
  <c r="E428" i="17"/>
  <c r="E435" i="17"/>
  <c r="E450" i="17"/>
  <c r="D451" i="17"/>
  <c r="E411" i="17"/>
  <c r="D430" i="17"/>
  <c r="E413" i="17"/>
  <c r="E392" i="17"/>
  <c r="D397" i="17"/>
  <c r="E424" i="17"/>
  <c r="D408" i="17"/>
  <c r="D438" i="17"/>
  <c r="E412" i="17"/>
  <c r="D395" i="17"/>
  <c r="D401" i="17"/>
  <c r="E394" i="17"/>
  <c r="E417" i="17"/>
  <c r="D440" i="17"/>
  <c r="E368" i="17"/>
  <c r="D447" i="17"/>
  <c r="D375" i="17"/>
  <c r="E400" i="17"/>
  <c r="E398" i="17"/>
  <c r="D445" i="17"/>
  <c r="E373" i="17"/>
  <c r="E455" i="17"/>
  <c r="D439" i="17"/>
  <c r="E386" i="17"/>
  <c r="D382" i="17"/>
  <c r="E379" i="17"/>
  <c r="E421" i="17"/>
  <c r="D421" i="17"/>
  <c r="E431" i="17"/>
  <c r="D426" i="17"/>
  <c r="E444" i="17"/>
  <c r="E404" i="17"/>
  <c r="D427" i="17"/>
  <c r="D378" i="17"/>
  <c r="D424" i="17"/>
  <c r="E408" i="17"/>
  <c r="E438" i="17"/>
  <c r="D412" i="17"/>
  <c r="E395" i="17"/>
  <c r="E401" i="17"/>
  <c r="D394" i="17"/>
  <c r="D417" i="17"/>
  <c r="E440" i="17"/>
  <c r="D368" i="17"/>
  <c r="E447" i="17"/>
  <c r="E375" i="17"/>
  <c r="D400" i="17"/>
  <c r="D398" i="17"/>
  <c r="E445" i="17"/>
  <c r="D373" i="17"/>
  <c r="E383" i="17"/>
  <c r="E405" i="17"/>
  <c r="D379" i="17"/>
  <c r="D454" i="17"/>
  <c r="E439" i="17"/>
  <c r="E458" i="17"/>
  <c r="D446" i="17"/>
  <c r="D377" i="17"/>
  <c r="E453" i="17"/>
  <c r="D413" i="17"/>
  <c r="E372" i="17"/>
  <c r="D411" i="17"/>
  <c r="E369" i="17"/>
  <c r="D449" i="17"/>
  <c r="E388" i="17"/>
  <c r="E396" i="17"/>
  <c r="E382" i="17"/>
  <c r="D374" i="17"/>
  <c r="D444" i="17"/>
  <c r="D414" i="17"/>
  <c r="E377" i="17"/>
  <c r="E426" i="17"/>
  <c r="E418" i="17"/>
  <c r="D388" i="17"/>
  <c r="D396" i="17"/>
  <c r="E390" i="17"/>
  <c r="D455" i="17"/>
  <c r="D405" i="17"/>
  <c r="D433" i="17"/>
  <c r="E430" i="17"/>
  <c r="D381" i="17"/>
  <c r="D409" i="17"/>
  <c r="E441" i="17"/>
  <c r="E456" i="17"/>
  <c r="E384" i="17"/>
  <c r="D437" i="17"/>
  <c r="E443" i="17"/>
  <c r="E371" i="17"/>
  <c r="E442" i="17"/>
  <c r="E370" i="17"/>
  <c r="E393" i="17"/>
  <c r="E416" i="17"/>
  <c r="D391" i="17"/>
  <c r="E423" i="17"/>
  <c r="D450" i="17"/>
  <c r="E446" i="17"/>
  <c r="E434" i="17"/>
  <c r="D453" i="17"/>
  <c r="E419" i="17"/>
  <c r="E376" i="17"/>
  <c r="D456" i="17"/>
  <c r="D384" i="17"/>
  <c r="E437" i="17"/>
  <c r="D443" i="17"/>
  <c r="D371" i="17"/>
  <c r="D442" i="17"/>
  <c r="D370" i="17"/>
  <c r="D393" i="17"/>
  <c r="D416" i="17"/>
  <c r="E391" i="17"/>
  <c r="D423" i="17"/>
  <c r="E432" i="17"/>
  <c r="D432" i="17"/>
  <c r="E427" i="17"/>
  <c r="E448" i="17"/>
  <c r="D419" i="17"/>
  <c r="E403" i="17"/>
  <c r="D418" i="17"/>
  <c r="D441" i="17"/>
  <c r="D369" i="17"/>
  <c r="D392" i="17"/>
  <c r="E378" i="17"/>
  <c r="D399" i="17"/>
  <c r="E449" i="17"/>
  <c r="E422" i="17"/>
  <c r="D376" i="17"/>
  <c r="E397" i="17"/>
  <c r="D404" i="17"/>
  <c r="D431" i="17"/>
  <c r="D434" i="17"/>
  <c r="D403" i="17"/>
  <c r="E399" i="17"/>
</calcChain>
</file>

<file path=xl/sharedStrings.xml><?xml version="1.0" encoding="utf-8"?>
<sst xmlns="http://schemas.openxmlformats.org/spreadsheetml/2006/main" count="265" uniqueCount="91">
  <si>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</si>
  <si>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</si>
  <si>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</si>
  <si>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</si>
  <si>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</si>
  <si>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</si>
  <si>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</si>
  <si>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</si>
  <si>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</si>
  <si>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</si>
  <si>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</si>
  <si>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</si>
  <si>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</si>
  <si>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</si>
  <si>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</si>
  <si>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</si>
  <si>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</si>
  <si>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</si>
  <si>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</si>
  <si>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</si>
  <si>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</si>
  <si>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</si>
  <si>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</si>
  <si>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</si>
  <si>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</si>
  <si>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</si>
  <si>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</si>
  <si>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</si>
  <si>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</si>
  <si>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</si>
  <si>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</si>
  <si>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</si>
  <si>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</si>
  <si>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</si>
  <si>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</si>
  <si>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</si>
  <si>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</si>
  <si>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</si>
  <si>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</si>
  <si>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</si>
  <si>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</si>
  <si>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</si>
  <si>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</si>
  <si>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</si>
  <si>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</si>
  <si>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</si>
  <si>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</si>
  <si>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</si>
  <si>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</si>
  <si>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</si>
  <si>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</si>
  <si>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</si>
  <si>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</si>
  <si>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</si>
  <si>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</si>
  <si>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</si>
  <si>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</si>
  <si>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</si>
  <si>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</si>
  <si>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</si>
  <si>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</si>
  <si>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</si>
  <si>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</si>
  <si>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</si>
  <si>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</si>
  <si>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</si>
  <si>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</si>
  <si>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</si>
  <si>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</si>
  <si>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</si>
  <si>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</si>
  <si>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</si>
  <si>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</si>
  <si>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</si>
  <si>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</si>
  <si>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</si>
  <si>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</si>
  <si>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</si>
  <si>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Report Created: 12-04-2025 18:15:49</t>
  </si>
  <si>
    <t>Solution Time: 0.032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</si>
  <si>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</si>
  <si>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</si>
  <si>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</si>
  <si>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</si>
  <si>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</si>
  <si>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</si>
  <si>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</si>
  <si>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12-04-2025 18:18:43</t>
  </si>
  <si>
    <t>Solution Time: 0.046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</si>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</sst>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76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165" fontId="4" fillId="2" borderId="22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5-4CB5-9552-1881ABB11CD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Sheet2!$C$2:$C$458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5-4CB5-9552-1881ABB11CD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Sheet2!$D$2:$D$458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5-4CB5-9552-1881ABB11CD1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Sheet2!$E$2:$E$458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65-4CB5-9552-1881ABB1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0192384"/>
        <c:axId val="2040193824"/>
      </c:lineChart>
      <c:catAx>
        <c:axId val="204019238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193824"/>
        <c:crosses val="autoZero"/>
        <c:auto val="1"/>
        <c:lblAlgn val="ctr"/>
        <c:lblOffset val="100"/>
        <c:noMultiLvlLbl val="0"/>
      </c:catAx>
      <c:valAx>
        <c:axId val="20401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19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7</xdr:row>
      <xdr:rowOff>80010</xdr:rowOff>
    </xdr:from>
    <xdr:to>
      <xdr:col>7</xdr:col>
      <xdr:colOff>428625</xdr:colOff>
      <xdr:row>27</xdr:row>
      <xdr:rowOff>89535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B1920-CEAE-381C-1691-7227C2F1C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4CB03C-686E-4039-9210-4DB464608B89}" name="Table3" displayName="Table3" ref="A1:E458" totalsRowShown="0">
  <autoFilter ref="A1:E458" xr:uid="{A94CB03C-686E-4039-9210-4DB464608B89}"/>
  <tableColumns count="5">
    <tableColumn id="1" xr3:uid="{353774AC-A09C-4CB9-84F2-37407A131246}" name="Date" dataDxfId="5"/>
    <tableColumn id="2" xr3:uid="{D05BC21F-6647-4614-8176-14161AB54435}" name="Job Count"/>
    <tableColumn id="3" xr3:uid="{5E64E315-2A07-44A3-B56F-276ED7DF3A67}" name="Forecast(Job Count)">
      <calculatedColumnFormula>_xlfn.FORECAST.ETS(A2,$B$2:$B$366,$A$2:$A$366,1,1)</calculatedColumnFormula>
    </tableColumn>
    <tableColumn id="4" xr3:uid="{8DE7E22D-953F-4F96-AFAC-F689771746FE}" name="Lower Confidence Bound(Job Count)" dataDxfId="4">
      <calculatedColumnFormula>C2-_xlfn.FORECAST.ETS.CONFINT(A2,$B$2:$B$366,$A$2:$A$366,0.95,1,1)</calculatedColumnFormula>
    </tableColumn>
    <tableColumn id="5" xr3:uid="{47B543F3-937B-44CD-A7C3-FC8643C253AC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2CC29A-353B-4A0A-8F36-63B7F555E1B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FdvwpHD9h8wSf7INms9w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2235-B3A3-4253-87FE-FF6D3960C834}">
  <dimension ref="A1:E458"/>
  <sheetViews>
    <sheetView zoomScale="76" zoomScaleNormal="76" workbookViewId="0">
      <selection activeCell="G34" sqref="G34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62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opLeftCell="A326" workbookViewId="0">
      <selection sqref="A1:B36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B653-EC37-43A7-AB86-6AFCD80E280E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79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5" thickBot="1" x14ac:dyDescent="0.35">
      <c r="B16" s="67" t="s">
        <v>29</v>
      </c>
      <c r="C16" s="67" t="s">
        <v>35</v>
      </c>
      <c r="D16" s="70">
        <v>566749.36181874992</v>
      </c>
      <c r="E16" s="70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3">
      <c r="B21" s="69" t="s">
        <v>60</v>
      </c>
      <c r="C21" s="69" t="s">
        <v>15</v>
      </c>
      <c r="D21" s="71">
        <v>0.1</v>
      </c>
      <c r="E21" s="71">
        <v>0.226693026881682</v>
      </c>
      <c r="F21" s="69" t="s">
        <v>61</v>
      </c>
    </row>
    <row r="22" spans="1:7" ht="15" thickBot="1" x14ac:dyDescent="0.35">
      <c r="B22" s="67" t="s">
        <v>62</v>
      </c>
      <c r="C22" s="67" t="s">
        <v>16</v>
      </c>
      <c r="D22" s="72">
        <v>1.4999999999999999E-2</v>
      </c>
      <c r="E22" s="72">
        <v>2.1270607913771021E-2</v>
      </c>
      <c r="F22" s="6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ht="15" thickBot="1" x14ac:dyDescent="0.35">
      <c r="B27" s="67" t="s">
        <v>29</v>
      </c>
      <c r="C27" s="67" t="s">
        <v>35</v>
      </c>
      <c r="D27" s="70">
        <v>639999.95106057753</v>
      </c>
      <c r="E27" s="67" t="s">
        <v>63</v>
      </c>
      <c r="F27" s="67" t="s">
        <v>64</v>
      </c>
      <c r="G27" s="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2860-2D4D-4DFF-9313-73C892C83622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81</v>
      </c>
    </row>
    <row r="2" spans="1:5" x14ac:dyDescent="0.3">
      <c r="A2" s="7" t="s">
        <v>38</v>
      </c>
    </row>
    <row r="3" spans="1:5" x14ac:dyDescent="0.3">
      <c r="A3" s="7" t="s">
        <v>78</v>
      </c>
    </row>
    <row r="6" spans="1:5" ht="15" thickBot="1" x14ac:dyDescent="0.35">
      <c r="A6" t="s">
        <v>54</v>
      </c>
    </row>
    <row r="7" spans="1:5" x14ac:dyDescent="0.3">
      <c r="B7" s="73"/>
      <c r="C7" s="73"/>
      <c r="D7" s="73" t="s">
        <v>82</v>
      </c>
      <c r="E7" s="73" t="s">
        <v>83</v>
      </c>
    </row>
    <row r="8" spans="1:5" ht="15" thickBot="1" x14ac:dyDescent="0.35">
      <c r="B8" s="74" t="s">
        <v>50</v>
      </c>
      <c r="C8" s="74" t="s">
        <v>51</v>
      </c>
      <c r="D8" s="74" t="s">
        <v>69</v>
      </c>
      <c r="E8" s="74" t="s">
        <v>84</v>
      </c>
    </row>
    <row r="9" spans="1:5" x14ac:dyDescent="0.3">
      <c r="B9" s="69" t="s">
        <v>60</v>
      </c>
      <c r="C9" s="69" t="s">
        <v>15</v>
      </c>
      <c r="D9" s="69">
        <v>0.226693026881682</v>
      </c>
      <c r="E9" s="69">
        <v>0</v>
      </c>
    </row>
    <row r="10" spans="1:5" ht="15" thickBot="1" x14ac:dyDescent="0.35">
      <c r="B10" s="67" t="s">
        <v>62</v>
      </c>
      <c r="C10" s="67" t="s">
        <v>16</v>
      </c>
      <c r="D10" s="67">
        <v>2.1270607913771021E-2</v>
      </c>
      <c r="E10" s="67">
        <v>0</v>
      </c>
    </row>
    <row r="12" spans="1:5" ht="15" thickBot="1" x14ac:dyDescent="0.35">
      <c r="A12" t="s">
        <v>56</v>
      </c>
    </row>
    <row r="13" spans="1:5" x14ac:dyDescent="0.3">
      <c r="B13" s="73"/>
      <c r="C13" s="73"/>
      <c r="D13" s="73" t="s">
        <v>82</v>
      </c>
      <c r="E13" s="73" t="s">
        <v>85</v>
      </c>
    </row>
    <row r="14" spans="1:5" ht="15" thickBot="1" x14ac:dyDescent="0.35">
      <c r="B14" s="74" t="s">
        <v>50</v>
      </c>
      <c r="C14" s="74" t="s">
        <v>51</v>
      </c>
      <c r="D14" s="74" t="s">
        <v>69</v>
      </c>
      <c r="E14" s="74" t="s">
        <v>86</v>
      </c>
    </row>
    <row r="15" spans="1:5" ht="15" thickBot="1" x14ac:dyDescent="0.35">
      <c r="B15" s="67" t="s">
        <v>29</v>
      </c>
      <c r="C15" s="67" t="s">
        <v>35</v>
      </c>
      <c r="D15" s="67">
        <v>639999.95106057753</v>
      </c>
      <c r="E15" s="6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93CB-E624-4E1D-A6DB-CB6585447DE2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0.2187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78</v>
      </c>
    </row>
    <row r="5" spans="1:10" ht="15" thickBot="1" x14ac:dyDescent="0.35"/>
    <row r="6" spans="1:10" x14ac:dyDescent="0.3">
      <c r="B6" s="73"/>
      <c r="C6" s="73" t="s">
        <v>71</v>
      </c>
      <c r="D6" s="73"/>
    </row>
    <row r="7" spans="1:10" ht="15" thickBot="1" x14ac:dyDescent="0.35">
      <c r="B7" s="74" t="s">
        <v>50</v>
      </c>
      <c r="C7" s="74" t="s">
        <v>51</v>
      </c>
      <c r="D7" s="74" t="s">
        <v>69</v>
      </c>
    </row>
    <row r="8" spans="1:10" ht="15" thickBot="1" x14ac:dyDescent="0.35">
      <c r="B8" s="67" t="s">
        <v>29</v>
      </c>
      <c r="C8" s="67" t="s">
        <v>35</v>
      </c>
      <c r="D8" s="70">
        <v>639999.95106057753</v>
      </c>
    </row>
    <row r="10" spans="1:10" ht="15" thickBot="1" x14ac:dyDescent="0.35"/>
    <row r="11" spans="1:10" x14ac:dyDescent="0.3">
      <c r="B11" s="73"/>
      <c r="C11" s="73" t="s">
        <v>72</v>
      </c>
      <c r="D11" s="73"/>
      <c r="F11" s="73" t="s">
        <v>73</v>
      </c>
      <c r="G11" s="73" t="s">
        <v>71</v>
      </c>
      <c r="I11" s="73" t="s">
        <v>76</v>
      </c>
      <c r="J11" s="73" t="s">
        <v>71</v>
      </c>
    </row>
    <row r="12" spans="1:10" ht="15" thickBot="1" x14ac:dyDescent="0.35">
      <c r="B12" s="74" t="s">
        <v>50</v>
      </c>
      <c r="C12" s="74" t="s">
        <v>51</v>
      </c>
      <c r="D12" s="74" t="s">
        <v>69</v>
      </c>
      <c r="F12" s="74" t="s">
        <v>74</v>
      </c>
      <c r="G12" s="74" t="s">
        <v>75</v>
      </c>
      <c r="I12" s="74" t="s">
        <v>74</v>
      </c>
      <c r="J12" s="74" t="s">
        <v>75</v>
      </c>
    </row>
    <row r="13" spans="1:10" x14ac:dyDescent="0.3">
      <c r="B13" s="69" t="s">
        <v>60</v>
      </c>
      <c r="C13" s="69" t="s">
        <v>15</v>
      </c>
      <c r="D13" s="71">
        <v>0.226693026881682</v>
      </c>
      <c r="F13" s="71">
        <v>0</v>
      </c>
      <c r="G13" s="71">
        <v>521727.87896862096</v>
      </c>
      <c r="I13" s="69" t="e">
        <v>#N/A</v>
      </c>
      <c r="J13" s="69" t="e">
        <v>#N/A</v>
      </c>
    </row>
    <row r="14" spans="1:10" ht="15" thickBot="1" x14ac:dyDescent="0.35">
      <c r="B14" s="67" t="s">
        <v>62</v>
      </c>
      <c r="C14" s="67" t="s">
        <v>16</v>
      </c>
      <c r="D14" s="72">
        <v>2.1270607913771021E-2</v>
      </c>
      <c r="F14" s="72">
        <v>0</v>
      </c>
      <c r="G14" s="72">
        <v>613346.51344084099</v>
      </c>
      <c r="I14" s="67" t="e">
        <v>#N/A</v>
      </c>
      <c r="J14" s="67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FA69-658D-40F2-8443-97DDE95B00FB}">
  <dimension ref="A1:G29"/>
  <sheetViews>
    <sheetView showGridLines="0" tabSelected="1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87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88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5" thickBot="1" x14ac:dyDescent="0.35">
      <c r="B16" s="67" t="s">
        <v>29</v>
      </c>
      <c r="C16" s="67" t="s">
        <v>35</v>
      </c>
      <c r="D16" s="70">
        <v>622877.09440000006</v>
      </c>
      <c r="E16" s="70">
        <v>640000.14523942047</v>
      </c>
    </row>
    <row r="19" spans="1:7" ht="15" thickBot="1" x14ac:dyDescent="0.35">
      <c r="A19" t="s">
        <v>54</v>
      </c>
    </row>
    <row r="20" spans="1:7" ht="15" thickBot="1" x14ac:dyDescent="0.3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3">
      <c r="B21" s="69" t="s">
        <v>60</v>
      </c>
      <c r="C21" s="69" t="s">
        <v>15</v>
      </c>
      <c r="D21" s="71">
        <v>0.15</v>
      </c>
      <c r="E21" s="71">
        <v>0.17283479610661426</v>
      </c>
      <c r="F21" s="69" t="s">
        <v>61</v>
      </c>
    </row>
    <row r="22" spans="1:7" ht="15" thickBot="1" x14ac:dyDescent="0.35">
      <c r="B22" s="67" t="s">
        <v>62</v>
      </c>
      <c r="C22" s="67" t="s">
        <v>16</v>
      </c>
      <c r="D22" s="72">
        <v>0.04</v>
      </c>
      <c r="E22" s="72">
        <v>4.3731865887940702E-2</v>
      </c>
      <c r="F22" s="6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x14ac:dyDescent="0.3">
      <c r="B27" s="69" t="s">
        <v>29</v>
      </c>
      <c r="C27" s="69" t="s">
        <v>35</v>
      </c>
      <c r="D27" s="75">
        <v>640000.14523942047</v>
      </c>
      <c r="E27" s="69" t="s">
        <v>63</v>
      </c>
      <c r="F27" s="69" t="s">
        <v>64</v>
      </c>
      <c r="G27" s="69">
        <v>0</v>
      </c>
    </row>
    <row r="28" spans="1:7" x14ac:dyDescent="0.3">
      <c r="B28" s="69" t="s">
        <v>60</v>
      </c>
      <c r="C28" s="69" t="s">
        <v>15</v>
      </c>
      <c r="D28" s="71">
        <v>0.17283479610661426</v>
      </c>
      <c r="E28" s="69" t="s">
        <v>89</v>
      </c>
      <c r="F28" s="69" t="s">
        <v>66</v>
      </c>
      <c r="G28" s="69">
        <v>2.7165203893385753E-2</v>
      </c>
    </row>
    <row r="29" spans="1:7" ht="15" thickBot="1" x14ac:dyDescent="0.35">
      <c r="B29" s="67" t="s">
        <v>62</v>
      </c>
      <c r="C29" s="67" t="s">
        <v>16</v>
      </c>
      <c r="D29" s="72">
        <v>4.3731865887940702E-2</v>
      </c>
      <c r="E29" s="67" t="s">
        <v>90</v>
      </c>
      <c r="F29" s="67" t="s">
        <v>66</v>
      </c>
      <c r="G29" s="67">
        <v>6.2681341120593009E-3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15" sqref="C15"/>
    </sheetView>
  </sheetViews>
  <sheetFormatPr defaultRowHeight="14.4" x14ac:dyDescent="0.3"/>
  <cols>
    <col min="2" max="2" width="11.5546875" customWidth="1"/>
    <col min="3" max="3" width="12.777343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64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5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6">
        <v>4.3731865887940702E-2</v>
      </c>
      <c r="E5" s="56" t="s">
        <v>21</v>
      </c>
      <c r="F5" s="57">
        <v>120000</v>
      </c>
      <c r="G5" s="58">
        <v>0.05</v>
      </c>
      <c r="H5" s="59">
        <v>8.0000000000000002E-3</v>
      </c>
    </row>
    <row r="6" spans="2:8" ht="29.4" thickBot="1" x14ac:dyDescent="0.35">
      <c r="E6" s="60" t="s">
        <v>77</v>
      </c>
      <c r="F6" s="61" t="e">
        <f>NA()</f>
        <v>#N/A</v>
      </c>
      <c r="G6" s="62">
        <v>0.25</v>
      </c>
      <c r="H6" s="63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37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scenarios current="2" show="2" sqref="C9:C14">
    <scenario name="Job 1" locked="1" count="3" user="Dhanush Prasad" comment="Created by Dhanush Prasad on 12-04-2025_x000a_Modified by Dhanush Prasad on 12-04-2025">
      <inputCells r="C3" val="100000" numFmtId="165"/>
      <inputCells r="C4" val="0.1" numFmtId="9"/>
      <inputCells r="C5" val="0.015" numFmtId="166"/>
    </scenario>
    <scenario name="Job 2" locked="1" count="3" user="Dhanush Prasad" comment="Created by Dhanush Prasad on 12-04-2025_x000a_Modified by Dhanush Prasad on 12-04-2025">
      <inputCells r="C3" val="80000" numFmtId="165"/>
      <inputCells r="C4" val="0.15" numFmtId="9"/>
      <inputCells r="C5" val="0.012" numFmtId="166"/>
    </scenario>
    <scenario name="Job 3" locked="1" count="3" user="Dhanush Prasad" comment="Created by Dhanush Prasad on 12-04-2025_x000a_Modified by Dhanush Prasad on 12-04-2025">
      <inputCells r="C3" val="120000" numFmtId="165"/>
      <inputCells r="C4" val="0.1" numFmtId="9"/>
      <inputCells r="C5" val="0.015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8" t="s">
        <v>50</v>
      </c>
      <c r="C15" s="48" t="s">
        <v>51</v>
      </c>
      <c r="D15" s="48" t="s">
        <v>52</v>
      </c>
      <c r="E15" s="48" t="s">
        <v>53</v>
      </c>
    </row>
    <row r="16" spans="1:5" ht="15" thickBot="1" x14ac:dyDescent="0.35">
      <c r="B16" s="47" t="s">
        <v>29</v>
      </c>
      <c r="C16" s="47" t="s">
        <v>35</v>
      </c>
      <c r="D16" s="50">
        <v>640000.63710000005</v>
      </c>
      <c r="E16" s="50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8" t="s">
        <v>50</v>
      </c>
      <c r="C20" s="48" t="s">
        <v>51</v>
      </c>
      <c r="D20" s="48" t="s">
        <v>52</v>
      </c>
      <c r="E20" s="48" t="s">
        <v>53</v>
      </c>
      <c r="F20" s="48" t="s">
        <v>55</v>
      </c>
    </row>
    <row r="21" spans="1:7" x14ac:dyDescent="0.3">
      <c r="B21" s="49" t="s">
        <v>60</v>
      </c>
      <c r="C21" s="49" t="s">
        <v>15</v>
      </c>
      <c r="D21" s="51">
        <v>0.20547045696368638</v>
      </c>
      <c r="E21" s="51">
        <v>0.20547045696368638</v>
      </c>
      <c r="F21" s="49" t="s">
        <v>61</v>
      </c>
    </row>
    <row r="22" spans="1:7" ht="15" thickBot="1" x14ac:dyDescent="0.35">
      <c r="B22" s="47" t="s">
        <v>62</v>
      </c>
      <c r="C22" s="47" t="s">
        <v>16</v>
      </c>
      <c r="D22" s="52">
        <v>0.03</v>
      </c>
      <c r="E22" s="52">
        <v>0.03</v>
      </c>
      <c r="F22" s="47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8" t="s">
        <v>50</v>
      </c>
      <c r="C26" s="48" t="s">
        <v>51</v>
      </c>
      <c r="D26" s="48" t="s">
        <v>57</v>
      </c>
      <c r="E26" s="48" t="s">
        <v>58</v>
      </c>
      <c r="F26" s="48" t="s">
        <v>59</v>
      </c>
      <c r="G26" s="48" t="s">
        <v>8</v>
      </c>
    </row>
    <row r="27" spans="1:7" x14ac:dyDescent="0.3">
      <c r="B27" s="49" t="s">
        <v>29</v>
      </c>
      <c r="C27" s="49" t="s">
        <v>35</v>
      </c>
      <c r="D27" s="53">
        <v>640000.64</v>
      </c>
      <c r="E27" s="49" t="s">
        <v>63</v>
      </c>
      <c r="F27" s="49" t="s">
        <v>64</v>
      </c>
      <c r="G27" s="49">
        <v>0</v>
      </c>
    </row>
    <row r="28" spans="1:7" x14ac:dyDescent="0.3">
      <c r="B28" s="49" t="s">
        <v>60</v>
      </c>
      <c r="C28" s="49" t="s">
        <v>15</v>
      </c>
      <c r="D28" s="51">
        <v>0.20547045696368638</v>
      </c>
      <c r="E28" s="49" t="s">
        <v>65</v>
      </c>
      <c r="F28" s="49" t="s">
        <v>66</v>
      </c>
      <c r="G28" s="49">
        <v>4.4529543036313624E-2</v>
      </c>
    </row>
    <row r="29" spans="1:7" ht="15" thickBot="1" x14ac:dyDescent="0.35">
      <c r="B29" s="47" t="s">
        <v>62</v>
      </c>
      <c r="C29" s="47" t="s">
        <v>16</v>
      </c>
      <c r="D29" s="52">
        <v>0.03</v>
      </c>
      <c r="E29" s="47" t="s">
        <v>67</v>
      </c>
      <c r="F29" s="47" t="s">
        <v>66</v>
      </c>
      <c r="G29" s="47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4"/>
      <c r="C6" s="54" t="s">
        <v>71</v>
      </c>
      <c r="D6" s="54"/>
    </row>
    <row r="7" spans="1:10" ht="15" thickBot="1" x14ac:dyDescent="0.35">
      <c r="B7" s="55" t="s">
        <v>50</v>
      </c>
      <c r="C7" s="55" t="s">
        <v>51</v>
      </c>
      <c r="D7" s="55" t="s">
        <v>69</v>
      </c>
    </row>
    <row r="8" spans="1:10" ht="15" thickBot="1" x14ac:dyDescent="0.35">
      <c r="B8" s="47" t="s">
        <v>29</v>
      </c>
      <c r="C8" s="47" t="s">
        <v>35</v>
      </c>
      <c r="D8" s="50">
        <v>640000.63710000005</v>
      </c>
    </row>
    <row r="10" spans="1:10" ht="15" thickBot="1" x14ac:dyDescent="0.35"/>
    <row r="11" spans="1:10" x14ac:dyDescent="0.3">
      <c r="B11" s="54"/>
      <c r="C11" s="54" t="s">
        <v>72</v>
      </c>
      <c r="D11" s="54"/>
      <c r="F11" s="54" t="s">
        <v>73</v>
      </c>
      <c r="G11" s="54" t="s">
        <v>71</v>
      </c>
      <c r="I11" s="54" t="s">
        <v>76</v>
      </c>
      <c r="J11" s="54" t="s">
        <v>71</v>
      </c>
    </row>
    <row r="12" spans="1:10" ht="15" thickBot="1" x14ac:dyDescent="0.35">
      <c r="B12" s="55" t="s">
        <v>50</v>
      </c>
      <c r="C12" s="55" t="s">
        <v>51</v>
      </c>
      <c r="D12" s="55" t="s">
        <v>69</v>
      </c>
      <c r="F12" s="55" t="s">
        <v>74</v>
      </c>
      <c r="G12" s="55" t="s">
        <v>75</v>
      </c>
      <c r="I12" s="55" t="s">
        <v>74</v>
      </c>
      <c r="J12" s="55" t="s">
        <v>75</v>
      </c>
    </row>
    <row r="13" spans="1:10" x14ac:dyDescent="0.3">
      <c r="B13" s="49" t="s">
        <v>60</v>
      </c>
      <c r="C13" s="49" t="s">
        <v>15</v>
      </c>
      <c r="D13" s="51">
        <v>0.20547045696368638</v>
      </c>
      <c r="F13" s="51">
        <v>0</v>
      </c>
      <c r="G13" s="51">
        <v>530913.57999999996</v>
      </c>
      <c r="I13" s="51">
        <v>0.25</v>
      </c>
      <c r="J13" s="51">
        <v>663641.98</v>
      </c>
    </row>
    <row r="14" spans="1:10" ht="15" thickBot="1" x14ac:dyDescent="0.35">
      <c r="B14" s="47" t="s">
        <v>62</v>
      </c>
      <c r="C14" s="47" t="s">
        <v>16</v>
      </c>
      <c r="D14" s="52">
        <v>0.03</v>
      </c>
      <c r="F14" s="52">
        <v>0</v>
      </c>
      <c r="G14" s="52">
        <v>602735.23</v>
      </c>
      <c r="I14" s="52">
        <v>0.04</v>
      </c>
      <c r="J14" s="52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Sheet2</vt:lpstr>
      <vt:lpstr>Forecast_Original</vt:lpstr>
      <vt:lpstr>Forecast_Final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Dhanush Prasad</cp:lastModifiedBy>
  <dcterms:created xsi:type="dcterms:W3CDTF">2024-08-08T18:34:47Z</dcterms:created>
  <dcterms:modified xsi:type="dcterms:W3CDTF">2025-04-12T12:49:21Z</dcterms:modified>
</cp:coreProperties>
</file>